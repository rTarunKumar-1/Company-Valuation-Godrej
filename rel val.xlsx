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v" sheetId="1" r:id="rId4"/>
    <sheet state="visible" name="pe" sheetId="2" r:id="rId5"/>
    <sheet state="visible" name="Sheet1" sheetId="3" r:id="rId6"/>
  </sheets>
  <definedNames/>
  <calcPr/>
  <extLst>
    <ext uri="GoogleSheetsCustomDataVersion2">
      <go:sheetsCustomData xmlns:go="http://customooxmlschemas.google.com/" r:id="rId7" roundtripDataChecksum="aMeEXo6ntv0uD9PGB/2+4Iv2YekjmlSJ7iJHshF/1jI="/>
    </ext>
  </extLst>
</workbook>
</file>

<file path=xl/sharedStrings.xml><?xml version="1.0" encoding="utf-8"?>
<sst xmlns="http://schemas.openxmlformats.org/spreadsheetml/2006/main" count="66" uniqueCount="47">
  <si>
    <t xml:space="preserve">Relative valuation of company </t>
  </si>
  <si>
    <t xml:space="preserve">Godrej Consumer Products is engaged in a fast moving consumer goods </t>
  </si>
  <si>
    <t>Comparable Companies:</t>
  </si>
  <si>
    <t>Dabur India Ltd</t>
  </si>
  <si>
    <t>Emami Ltd</t>
  </si>
  <si>
    <t>Marico</t>
  </si>
  <si>
    <t>Enterprise Value(in inr Billions)</t>
  </si>
  <si>
    <t>Revenue(in inr Billions)</t>
  </si>
  <si>
    <t>EV/Revenue</t>
  </si>
  <si>
    <t>Industry  EV/Revenue  ratio</t>
  </si>
  <si>
    <t>Given data on Godrej Consumer Products Ltd</t>
  </si>
  <si>
    <t>Godrej Consumer Products Ltd</t>
  </si>
  <si>
    <t>Outstanding shares (as of April 4th 2025)</t>
  </si>
  <si>
    <t>totaldebt (in inr Billions)</t>
  </si>
  <si>
    <t>cash</t>
  </si>
  <si>
    <t>Valuation of Godrej Consumer Products Ltd using relative valuation</t>
  </si>
  <si>
    <t>Revenue(in inr Billions) for godrej</t>
  </si>
  <si>
    <t>Predicted EV of godrej</t>
  </si>
  <si>
    <t>Predicted mve of godrej</t>
  </si>
  <si>
    <t>Offer price for 1 share (in rupees)</t>
  </si>
  <si>
    <t xml:space="preserve">Thus using relative valuation we can see that the P/E value of UPL is lower than the industry average </t>
  </si>
  <si>
    <t xml:space="preserve">and hence it has underpriced shares. Its current share price is 706.06 rupees while using relative valuation </t>
  </si>
  <si>
    <t>it should be priced at 1138.46 rupees</t>
  </si>
  <si>
    <t>Jyothy Labs Ltd</t>
  </si>
  <si>
    <t>Bajaj Consumer Care Ltd</t>
  </si>
  <si>
    <t>Share price (as of April 4th, 2025) in rupees</t>
  </si>
  <si>
    <t>Market Capitalization (crore) in rupees</t>
  </si>
  <si>
    <t>Net income (crore) in rupees</t>
  </si>
  <si>
    <t>P/E</t>
  </si>
  <si>
    <t>Industry P/E ratio</t>
  </si>
  <si>
    <t xml:space="preserve">Industry P/E </t>
  </si>
  <si>
    <t>Net income (billion) in rupees for UPL</t>
  </si>
  <si>
    <t>Predicted MV of Equity</t>
  </si>
  <si>
    <t>As the value is coming negative we cannot use this method</t>
  </si>
  <si>
    <t>Name</t>
  </si>
  <si>
    <t>ROE 3Yr %</t>
  </si>
  <si>
    <t>Avg Div Payout 3Yrs %</t>
  </si>
  <si>
    <t>Retention Ratio 3Yrs %</t>
  </si>
  <si>
    <t>growth rate %</t>
  </si>
  <si>
    <r>
      <rPr>
        <rFont val="&quot;Inter var&quot;, Inter, sans-serif"/>
        <color rgb="FF000000"/>
        <u/>
      </rPr>
      <t>Dabur India</t>
    </r>
  </si>
  <si>
    <r>
      <rPr>
        <rFont val="&quot;Inter var&quot;, Inter, sans-serif"/>
        <color rgb="FF000000"/>
        <u/>
      </rPr>
      <t>Emami</t>
    </r>
  </si>
  <si>
    <r>
      <rPr>
        <rFont val="&quot;Inter var&quot;, Inter, sans-serif"/>
        <color rgb="FF000000"/>
        <u/>
      </rPr>
      <t>Jyothy Labs</t>
    </r>
  </si>
  <si>
    <r>
      <rPr>
        <rFont val="&quot;Inter var&quot;, Inter, sans-serif"/>
        <color rgb="FF000000"/>
        <u/>
      </rPr>
      <t>Bajaj Consumer</t>
    </r>
  </si>
  <si>
    <r>
      <rPr>
        <rFont val="&quot;Inter var&quot;, Inter, sans-serif"/>
        <color rgb="FF000000"/>
        <u/>
      </rPr>
      <t>Cupid</t>
    </r>
  </si>
  <si>
    <r>
      <rPr>
        <rFont val="&quot;Inter var&quot;, Inter, sans-serif"/>
        <color rgb="FF000000"/>
        <u/>
      </rPr>
      <t>Radix Industries</t>
    </r>
  </si>
  <si>
    <r>
      <rPr>
        <rFont val="&quot;Inter var&quot;, Inter, sans-serif"/>
        <color rgb="FF000000"/>
        <u/>
      </rPr>
      <t>Maric</t>
    </r>
    <r>
      <rPr>
        <rFont val="&quot;Inter var&quot;, Inter, sans-serif"/>
        <color rgb="FF000000"/>
      </rPr>
      <t>o</t>
    </r>
  </si>
  <si>
    <t>Industry Avg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</si>
</sst>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"/>
    <numFmt numFmtId="165" formatCode="_ * #,##0.00_ ;_ * \-#,##0.00_ ;_ * &quot;-&quot;??_ ;_ @_ "/>
  </numFmts>
  <fonts count="18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>
      <sz val="11.0"/>
      <color rgb="FF000000"/>
      <name val="Calibri"/>
    </font>
    <font>
      <color theme="1"/>
      <name val="Calibri"/>
      <scheme val="minor"/>
    </font>
    <font>
      <sz val="11.0"/>
      <color rgb="FF232A31"/>
      <name val="Calibri"/>
    </font>
    <font>
      <sz val="20.0"/>
      <color theme="1"/>
      <name val="Calibri"/>
    </font>
    <font>
      <sz val="14.0"/>
      <color theme="1"/>
      <name val="Calibri"/>
    </font>
    <font>
      <b/>
      <sz val="12.0"/>
      <color theme="1"/>
      <name val="Calibri"/>
    </font>
    <font>
      <sz val="10.0"/>
      <color theme="1"/>
      <name val="Arial"/>
    </font>
    <font>
      <sz val="10.0"/>
      <color rgb="FF000000"/>
      <name val="Arial"/>
    </font>
    <font>
      <sz val="8.0"/>
      <color rgb="FF232A31"/>
      <name val="Arial"/>
    </font>
    <font>
      <b/>
      <sz val="16.0"/>
      <color theme="1"/>
      <name val="Calibri"/>
    </font>
    <font>
      <b/>
      <sz val="14.0"/>
      <color theme="1"/>
      <name val="Calibri"/>
    </font>
    <font>
      <color rgb="FF22222F"/>
      <name val="&quot;Inter var&quot;"/>
    </font>
    <font>
      <color rgb="FF22222F"/>
      <name val="Arial"/>
    </font>
    <font>
      <u/>
      <color rgb="FF000000"/>
      <name val="&quot;Inter var&quot;"/>
    </font>
    <font>
      <b/>
      <color theme="1"/>
      <name val="Calibri"/>
      <scheme val="minor"/>
    </font>
  </fonts>
  <fills count="10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00B0F0"/>
        <bgColor rgb="FF00B0F0"/>
      </patternFill>
    </fill>
    <fill>
      <patternFill patternType="solid">
        <fgColor rgb="FFFFF2CC"/>
        <bgColor rgb="FFFFF2CC"/>
      </patternFill>
    </fill>
    <fill>
      <patternFill patternType="solid">
        <fgColor rgb="FF00B050"/>
        <bgColor rgb="FF00B050"/>
      </patternFill>
    </fill>
    <fill>
      <patternFill patternType="solid">
        <fgColor rgb="FF999999"/>
        <bgColor rgb="FF999999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</fills>
  <borders count="27">
    <border/>
    <border>
      <left/>
      <right/>
      <top/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/>
      <bottom/>
    </border>
    <border>
      <left style="medium">
        <color rgb="FF000000"/>
      </left>
    </border>
    <border>
      <right style="medium">
        <color rgb="FF000000"/>
      </right>
    </border>
    <border>
      <right/>
      <top/>
      <bottom/>
    </border>
    <border>
      <left style="medium">
        <color rgb="FF000000"/>
      </left>
      <right/>
      <top/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/>
      <right/>
      <bottom/>
    </border>
    <border>
      <left/>
      <right/>
      <top/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medium">
        <color rgb="FF000000"/>
      </right>
      <top/>
      <bottom/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top/>
      <bottom/>
    </border>
    <border>
      <left style="medium">
        <color rgb="FF000000"/>
      </left>
      <right style="medium">
        <color rgb="FF000000"/>
      </right>
      <top/>
      <bottom/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/>
      <right/>
      <top/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4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1" numFmtId="0" xfId="0" applyAlignment="1" applyBorder="1" applyFont="1">
      <alignment readingOrder="0"/>
    </xf>
    <xf borderId="2" fillId="0" fontId="2" numFmtId="0" xfId="0" applyAlignment="1" applyBorder="1" applyFont="1">
      <alignment horizontal="right"/>
    </xf>
    <xf borderId="3" fillId="3" fontId="2" numFmtId="0" xfId="0" applyBorder="1" applyFill="1" applyFont="1"/>
    <xf borderId="4" fillId="3" fontId="2" numFmtId="0" xfId="0" applyAlignment="1" applyBorder="1" applyFont="1">
      <alignment horizontal="center" vertical="center"/>
    </xf>
    <xf borderId="5" fillId="3" fontId="2" numFmtId="0" xfId="0" applyAlignment="1" applyBorder="1" applyFont="1">
      <alignment horizontal="center" vertical="center"/>
    </xf>
    <xf borderId="3" fillId="3" fontId="2" numFmtId="0" xfId="0" applyAlignment="1" applyBorder="1" applyFont="1">
      <alignment horizontal="center" vertical="center"/>
    </xf>
    <xf borderId="6" fillId="3" fontId="2" numFmtId="0" xfId="0" applyAlignment="1" applyBorder="1" applyFont="1">
      <alignment horizontal="left"/>
    </xf>
    <xf borderId="7" fillId="0" fontId="1" numFmtId="0" xfId="0" applyBorder="1" applyFont="1"/>
    <xf borderId="0" fillId="0" fontId="3" numFmtId="4" xfId="0" applyFont="1" applyNumberFormat="1"/>
    <xf borderId="8" fillId="0" fontId="1" numFmtId="0" xfId="0" applyBorder="1" applyFont="1"/>
    <xf borderId="0" fillId="0" fontId="1" numFmtId="0" xfId="0" applyAlignment="1" applyFont="1">
      <alignment shrinkToFit="0" vertical="center" wrapText="1"/>
    </xf>
    <xf borderId="7" fillId="0" fontId="4" numFmtId="0" xfId="0" applyBorder="1" applyFont="1"/>
    <xf borderId="8" fillId="0" fontId="3" numFmtId="4" xfId="0" applyBorder="1" applyFont="1" applyNumberFormat="1"/>
    <xf borderId="9" fillId="2" fontId="1" numFmtId="0" xfId="0" applyBorder="1" applyFont="1"/>
    <xf borderId="8" fillId="0" fontId="4" numFmtId="0" xfId="0" applyBorder="1" applyFont="1"/>
    <xf borderId="10" fillId="3" fontId="2" numFmtId="0" xfId="0" applyAlignment="1" applyBorder="1" applyFont="1">
      <alignment horizontal="left"/>
    </xf>
    <xf borderId="11" fillId="0" fontId="1" numFmtId="0" xfId="0" applyBorder="1" applyFont="1"/>
    <xf borderId="12" fillId="0" fontId="1" numFmtId="0" xfId="0" applyAlignment="1" applyBorder="1" applyFont="1">
      <alignment shrinkToFit="0" vertical="center" wrapText="1"/>
    </xf>
    <xf borderId="13" fillId="0" fontId="1" numFmtId="0" xfId="0" applyAlignment="1" applyBorder="1" applyFont="1">
      <alignment shrinkToFit="0" vertical="center" wrapText="1"/>
    </xf>
    <xf borderId="11" fillId="0" fontId="1" numFmtId="0" xfId="0" applyAlignment="1" applyBorder="1" applyFont="1">
      <alignment shrinkToFit="0" vertical="center" wrapText="1"/>
    </xf>
    <xf borderId="14" fillId="2" fontId="1" numFmtId="0" xfId="0" applyBorder="1" applyFont="1"/>
    <xf borderId="1" fillId="4" fontId="2" numFmtId="0" xfId="0" applyAlignment="1" applyBorder="1" applyFill="1" applyFont="1">
      <alignment horizontal="center"/>
    </xf>
    <xf borderId="1" fillId="4" fontId="1" numFmtId="164" xfId="0" applyBorder="1" applyFont="1" applyNumberFormat="1"/>
    <xf borderId="0" fillId="0" fontId="5" numFmtId="3" xfId="0" applyFont="1" applyNumberFormat="1"/>
    <xf borderId="1" fillId="2" fontId="2" numFmtId="0" xfId="0" applyBorder="1" applyFont="1"/>
    <xf borderId="15" fillId="2" fontId="1" numFmtId="0" xfId="0" applyBorder="1" applyFont="1"/>
    <xf borderId="2" fillId="0" fontId="1" numFmtId="0" xfId="0" applyBorder="1" applyFont="1"/>
    <xf borderId="2" fillId="3" fontId="1" numFmtId="0" xfId="0" applyBorder="1" applyFont="1"/>
    <xf borderId="16" fillId="3" fontId="2" numFmtId="0" xfId="0" applyAlignment="1" applyBorder="1" applyFont="1">
      <alignment vertical="center"/>
    </xf>
    <xf borderId="17" fillId="3" fontId="2" numFmtId="0" xfId="0" applyBorder="1" applyFont="1"/>
    <xf borderId="6" fillId="2" fontId="1" numFmtId="0" xfId="0" applyBorder="1" applyFont="1"/>
    <xf borderId="14" fillId="2" fontId="1" numFmtId="165" xfId="0" applyAlignment="1" applyBorder="1" applyFont="1" applyNumberFormat="1">
      <alignment horizontal="right"/>
    </xf>
    <xf borderId="18" fillId="2" fontId="1" numFmtId="0" xfId="0" applyBorder="1" applyFont="1"/>
    <xf borderId="0" fillId="0" fontId="4" numFmtId="0" xfId="0" applyFont="1"/>
    <xf borderId="0" fillId="0" fontId="1" numFmtId="4" xfId="0" applyAlignment="1" applyFont="1" applyNumberFormat="1">
      <alignment vertical="center"/>
    </xf>
    <xf borderId="10" fillId="2" fontId="1" numFmtId="0" xfId="0" applyBorder="1" applyFont="1"/>
    <xf borderId="12" fillId="0" fontId="4" numFmtId="0" xfId="0" applyBorder="1" applyFont="1"/>
    <xf borderId="19" fillId="2" fontId="1" numFmtId="0" xfId="0" applyBorder="1" applyFont="1"/>
    <xf borderId="20" fillId="5" fontId="2" numFmtId="0" xfId="0" applyAlignment="1" applyBorder="1" applyFill="1" applyFont="1">
      <alignment horizontal="left" vertical="center"/>
    </xf>
    <xf borderId="21" fillId="5" fontId="1" numFmtId="164" xfId="0" applyBorder="1" applyFont="1" applyNumberFormat="1"/>
    <xf borderId="22" fillId="5" fontId="2" numFmtId="0" xfId="0" applyAlignment="1" applyBorder="1" applyFont="1">
      <alignment horizontal="left"/>
    </xf>
    <xf borderId="23" fillId="5" fontId="1" numFmtId="0" xfId="0" applyBorder="1" applyFont="1"/>
    <xf borderId="23" fillId="5" fontId="2" numFmtId="0" xfId="0" applyAlignment="1" applyBorder="1" applyFont="1">
      <alignment horizontal="left" vertical="center"/>
    </xf>
    <xf borderId="18" fillId="5" fontId="1" numFmtId="0" xfId="0" applyBorder="1" applyFont="1"/>
    <xf borderId="18" fillId="5" fontId="1" numFmtId="4" xfId="0" applyBorder="1" applyFont="1" applyNumberFormat="1"/>
    <xf borderId="24" fillId="5" fontId="2" numFmtId="0" xfId="0" applyAlignment="1" applyBorder="1" applyFont="1">
      <alignment horizontal="left" vertical="center"/>
    </xf>
    <xf borderId="19" fillId="5" fontId="1" numFmtId="165" xfId="0" applyBorder="1" applyFont="1" applyNumberFormat="1"/>
    <xf borderId="1" fillId="2" fontId="6" numFmtId="0" xfId="0" applyBorder="1" applyFont="1"/>
    <xf borderId="1" fillId="2" fontId="7" numFmtId="0" xfId="0" applyBorder="1" applyFont="1"/>
    <xf borderId="4" fillId="3" fontId="8" numFmtId="0" xfId="0" applyAlignment="1" applyBorder="1" applyFont="1">
      <alignment vertical="center"/>
    </xf>
    <xf borderId="5" fillId="3" fontId="2" numFmtId="0" xfId="0" applyBorder="1" applyFont="1"/>
    <xf borderId="0" fillId="0" fontId="1" numFmtId="165" xfId="0" applyAlignment="1" applyFont="1" applyNumberFormat="1">
      <alignment shrinkToFit="0" vertical="center" wrapText="1"/>
    </xf>
    <xf borderId="0" fillId="0" fontId="9" numFmtId="3" xfId="0" applyFont="1" applyNumberFormat="1"/>
    <xf borderId="8" fillId="0" fontId="1" numFmtId="0" xfId="0" applyAlignment="1" applyBorder="1" applyFont="1">
      <alignment shrinkToFit="0" vertical="center" wrapText="1"/>
    </xf>
    <xf borderId="0" fillId="0" fontId="1" numFmtId="3" xfId="0" applyFont="1" applyNumberFormat="1"/>
    <xf borderId="0" fillId="0" fontId="10" numFmtId="4" xfId="0" applyFont="1" applyNumberFormat="1"/>
    <xf borderId="12" fillId="0" fontId="1" numFmtId="2" xfId="0" applyBorder="1" applyFont="1" applyNumberFormat="1"/>
    <xf borderId="13" fillId="0" fontId="1" numFmtId="0" xfId="0" applyBorder="1" applyFont="1"/>
    <xf borderId="12" fillId="0" fontId="1" numFmtId="0" xfId="0" applyBorder="1" applyFont="1"/>
    <xf borderId="0" fillId="0" fontId="11" numFmtId="3" xfId="0" applyFont="1" applyNumberFormat="1"/>
    <xf borderId="1" fillId="2" fontId="12" numFmtId="0" xfId="0" applyBorder="1" applyFont="1"/>
    <xf borderId="3" fillId="3" fontId="1" numFmtId="0" xfId="0" applyBorder="1" applyFont="1"/>
    <xf borderId="10" fillId="3" fontId="2" numFmtId="0" xfId="0" applyAlignment="1" applyBorder="1" applyFont="1">
      <alignment horizontal="left" vertical="center"/>
    </xf>
    <xf borderId="25" fillId="2" fontId="1" numFmtId="2" xfId="0" applyAlignment="1" applyBorder="1" applyFont="1" applyNumberFormat="1">
      <alignment horizontal="right"/>
    </xf>
    <xf borderId="1" fillId="2" fontId="13" numFmtId="0" xfId="0" applyBorder="1" applyFont="1"/>
    <xf borderId="20" fillId="6" fontId="2" numFmtId="0" xfId="0" applyAlignment="1" applyBorder="1" applyFill="1" applyFont="1">
      <alignment horizontal="left" vertical="center"/>
    </xf>
    <xf borderId="21" fillId="6" fontId="1" numFmtId="164" xfId="0" applyBorder="1" applyFont="1" applyNumberFormat="1"/>
    <xf borderId="23" fillId="6" fontId="2" numFmtId="0" xfId="0" applyAlignment="1" applyBorder="1" applyFont="1">
      <alignment horizontal="left" vertical="center"/>
    </xf>
    <xf borderId="18" fillId="6" fontId="1" numFmtId="0" xfId="0" applyBorder="1" applyFont="1"/>
    <xf borderId="24" fillId="6" fontId="2" numFmtId="0" xfId="0" applyAlignment="1" applyBorder="1" applyFont="1">
      <alignment horizontal="left" vertical="center"/>
    </xf>
    <xf borderId="19" fillId="6" fontId="1" numFmtId="0" xfId="0" applyBorder="1" applyFont="1"/>
    <xf borderId="1" fillId="2" fontId="2" numFmtId="0" xfId="0" applyAlignment="1" applyBorder="1" applyFont="1">
      <alignment readingOrder="0"/>
    </xf>
    <xf borderId="0" fillId="0" fontId="14" numFmtId="0" xfId="0" applyAlignment="1" applyFont="1">
      <alignment horizontal="left" readingOrder="0" shrinkToFit="0" wrapText="0"/>
    </xf>
    <xf borderId="26" fillId="7" fontId="14" numFmtId="0" xfId="0" applyAlignment="1" applyBorder="1" applyFill="1" applyFont="1">
      <alignment horizontal="left" readingOrder="0" shrinkToFit="0" wrapText="0"/>
    </xf>
    <xf borderId="26" fillId="7" fontId="14" numFmtId="0" xfId="0" applyAlignment="1" applyBorder="1" applyFont="1">
      <alignment horizontal="right" readingOrder="0"/>
    </xf>
    <xf borderId="26" fillId="7" fontId="15" numFmtId="0" xfId="0" applyAlignment="1" applyBorder="1" applyFont="1">
      <alignment horizontal="right" readingOrder="0"/>
    </xf>
    <xf borderId="26" fillId="3" fontId="16" numFmtId="0" xfId="0" applyAlignment="1" applyBorder="1" applyFont="1">
      <alignment horizontal="left" readingOrder="0" shrinkToFit="0" wrapText="0"/>
    </xf>
    <xf borderId="26" fillId="5" fontId="14" numFmtId="0" xfId="0" applyAlignment="1" applyBorder="1" applyFont="1">
      <alignment horizontal="right" readingOrder="0"/>
    </xf>
    <xf borderId="26" fillId="8" fontId="14" numFmtId="0" xfId="0" applyAlignment="1" applyBorder="1" applyFill="1" applyFont="1">
      <alignment horizontal="right" readingOrder="0"/>
    </xf>
    <xf borderId="26" fillId="5" fontId="15" numFmtId="0" xfId="0" applyAlignment="1" applyBorder="1" applyFont="1">
      <alignment horizontal="right" readingOrder="0"/>
    </xf>
    <xf borderId="0" fillId="9" fontId="17" numFmtId="0" xfId="0" applyAlignment="1" applyFill="1" applyFont="1">
      <alignment readingOrder="0"/>
    </xf>
    <xf borderId="0" fillId="9" fontId="1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creener.in/company/DABUR/consolidated/" TargetMode="External"/><Relationship Id="rId2" Type="http://schemas.openxmlformats.org/officeDocument/2006/relationships/hyperlink" Target="https://www.screener.in/company/EMAMILTD/consolidated/" TargetMode="External"/><Relationship Id="rId3" Type="http://schemas.openxmlformats.org/officeDocument/2006/relationships/hyperlink" Target="https://www.screener.in/company/JYOTHYLAB/consolidated/" TargetMode="External"/><Relationship Id="rId4" Type="http://schemas.openxmlformats.org/officeDocument/2006/relationships/hyperlink" Target="https://www.screener.in/company/BAJAJCON/consolidated/" TargetMode="External"/><Relationship Id="rId5" Type="http://schemas.openxmlformats.org/officeDocument/2006/relationships/hyperlink" Target="https://www.screener.in/company/CUPID/" TargetMode="External"/><Relationship Id="rId6" Type="http://schemas.openxmlformats.org/officeDocument/2006/relationships/hyperlink" Target="https://www.screener.in/company/531412/" TargetMode="External"/><Relationship Id="rId7" Type="http://schemas.openxmlformats.org/officeDocument/2006/relationships/hyperlink" Target="https://www.screener.in/company/MARICO/consolidated/" TargetMode="External"/><Relationship Id="rId8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47.57"/>
    <col customWidth="1" min="3" max="3" width="12.0"/>
    <col customWidth="1" min="4" max="4" width="28.29"/>
    <col customWidth="1" min="5" max="5" width="4.43"/>
    <col customWidth="1" min="6" max="6" width="8.86"/>
    <col customWidth="1" min="7" max="7" width="12.0"/>
    <col customWidth="1" min="8" max="9" width="8.86"/>
    <col customWidth="1" min="10" max="10" width="13.43"/>
    <col customWidth="1" min="11" max="26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1"/>
      <c r="B2" s="1" t="s">
        <v>0</v>
      </c>
      <c r="C2" s="2" t="s">
        <v>1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4.25" customHeight="1">
      <c r="A4" s="1"/>
      <c r="B4" s="3" t="s">
        <v>2</v>
      </c>
      <c r="C4" s="4"/>
      <c r="D4" s="5" t="s">
        <v>3</v>
      </c>
      <c r="E4" s="6"/>
      <c r="F4" s="7"/>
      <c r="G4" s="5" t="s">
        <v>4</v>
      </c>
      <c r="H4" s="6"/>
      <c r="I4" s="5"/>
      <c r="J4" s="6" t="s">
        <v>5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4.25" customHeight="1">
      <c r="A5" s="1"/>
      <c r="B5" s="8" t="s">
        <v>6</v>
      </c>
      <c r="C5" s="9"/>
      <c r="D5" s="10">
        <v>815.44</v>
      </c>
      <c r="E5" s="11"/>
      <c r="F5" s="9"/>
      <c r="G5" s="12">
        <v>244.66</v>
      </c>
      <c r="H5" s="12"/>
      <c r="I5" s="13"/>
      <c r="J5" s="14">
        <v>845.71</v>
      </c>
      <c r="K5" s="15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4.25" customHeight="1">
      <c r="A6" s="1"/>
      <c r="B6" s="8" t="s">
        <v>7</v>
      </c>
      <c r="C6" s="9"/>
      <c r="D6" s="12">
        <v>124.05</v>
      </c>
      <c r="E6" s="12"/>
      <c r="F6" s="9"/>
      <c r="G6" s="12">
        <v>36.9</v>
      </c>
      <c r="H6" s="12"/>
      <c r="I6" s="13"/>
      <c r="J6" s="16">
        <v>102.99</v>
      </c>
      <c r="K6" s="15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4.25" customHeight="1">
      <c r="A7" s="1"/>
      <c r="B7" s="17" t="s">
        <v>8</v>
      </c>
      <c r="C7" s="18"/>
      <c r="D7" s="19">
        <f>D5/D6</f>
        <v>6.573478436</v>
      </c>
      <c r="E7" s="20"/>
      <c r="F7" s="19"/>
      <c r="G7" s="19">
        <f>G5/G6</f>
        <v>6.630352304</v>
      </c>
      <c r="H7" s="19"/>
      <c r="I7" s="21"/>
      <c r="J7" s="20">
        <f>J5/J6</f>
        <v>8.211573939</v>
      </c>
      <c r="K7" s="15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1"/>
      <c r="B8" s="22"/>
      <c r="C8" s="22"/>
      <c r="D8" s="22"/>
      <c r="E8" s="22"/>
      <c r="F8" s="22"/>
      <c r="G8" s="22"/>
      <c r="H8" s="22"/>
      <c r="I8" s="22"/>
      <c r="J8" s="22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4.25" customHeight="1">
      <c r="A9" s="1"/>
      <c r="B9" s="23" t="s">
        <v>9</v>
      </c>
      <c r="C9" s="24">
        <f>AVERAGE(D7,G7,J7)</f>
        <v>7.138468226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4.25" customHeight="1">
      <c r="A10" s="1"/>
      <c r="B10" s="1"/>
      <c r="C10" s="1"/>
      <c r="D10" s="1"/>
      <c r="E10" s="1"/>
      <c r="F10" s="1"/>
      <c r="G10" s="1"/>
      <c r="H10" s="1"/>
      <c r="I10" s="1"/>
      <c r="J10" s="25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4.25" customHeight="1">
      <c r="A11" s="1"/>
      <c r="B11" s="26" t="s">
        <v>10</v>
      </c>
      <c r="C11" s="1"/>
      <c r="D11" s="1"/>
      <c r="E11" s="1"/>
      <c r="F11" s="26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4.25" customHeight="1">
      <c r="A12" s="1"/>
      <c r="B12" s="1"/>
      <c r="C12" s="1"/>
      <c r="D12" s="27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4.25" customHeight="1">
      <c r="A13" s="1"/>
      <c r="B13" s="28"/>
      <c r="C13" s="29"/>
      <c r="D13" s="30" t="s">
        <v>11</v>
      </c>
      <c r="E13" s="3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4.25" customHeight="1">
      <c r="A14" s="1"/>
      <c r="B14" s="8" t="s">
        <v>12</v>
      </c>
      <c r="C14" s="32"/>
      <c r="D14" s="33">
        <v>1.023E9</v>
      </c>
      <c r="E14" s="34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>
      <c r="A15" s="1"/>
      <c r="B15" s="8" t="s">
        <v>6</v>
      </c>
      <c r="C15" s="32"/>
      <c r="D15" s="35">
        <v>1200.0</v>
      </c>
      <c r="E15" s="34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4.25" customHeight="1">
      <c r="A16" s="1"/>
      <c r="B16" s="8" t="s">
        <v>7</v>
      </c>
      <c r="C16" s="32"/>
      <c r="D16" s="35">
        <v>140.72</v>
      </c>
      <c r="E16" s="34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>
      <c r="A17" s="1"/>
      <c r="B17" s="8" t="s">
        <v>13</v>
      </c>
      <c r="C17" s="32"/>
      <c r="D17" s="36">
        <v>32.22</v>
      </c>
      <c r="E17" s="34"/>
      <c r="F17" s="12"/>
      <c r="G17" s="12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4.25" customHeight="1">
      <c r="A18" s="1"/>
      <c r="B18" s="8" t="s">
        <v>14</v>
      </c>
      <c r="C18" s="32"/>
      <c r="D18" s="36">
        <v>5.47</v>
      </c>
      <c r="E18" s="34"/>
      <c r="F18" s="12"/>
      <c r="G18" s="12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4.25" customHeight="1">
      <c r="A19" s="1"/>
      <c r="B19" s="17" t="s">
        <v>8</v>
      </c>
      <c r="C19" s="37"/>
      <c r="D19" s="38">
        <f>D15/D16</f>
        <v>8.527572484</v>
      </c>
      <c r="E19" s="39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4.25" customHeight="1">
      <c r="A20" s="1"/>
      <c r="B20" s="22"/>
      <c r="C20" s="22"/>
      <c r="D20" s="22"/>
      <c r="E20" s="22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4.25" customHeight="1">
      <c r="A21" s="1"/>
      <c r="B21" s="26" t="s">
        <v>15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4.2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4.25" customHeight="1">
      <c r="A23" s="1"/>
      <c r="B23" s="40" t="s">
        <v>9</v>
      </c>
      <c r="C23" s="41">
        <f>C9</f>
        <v>7.138468226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4.25" customHeight="1">
      <c r="A24" s="1"/>
      <c r="B24" s="42" t="s">
        <v>16</v>
      </c>
      <c r="C24" s="43">
        <v>140.72</v>
      </c>
      <c r="D24" s="15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>
      <c r="A25" s="1"/>
      <c r="B25" s="44" t="s">
        <v>17</v>
      </c>
      <c r="C25" s="45">
        <f>C24*C23</f>
        <v>1004.525249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4.25" customHeight="1">
      <c r="A26" s="1"/>
      <c r="B26" s="44" t="s">
        <v>18</v>
      </c>
      <c r="C26" s="46">
        <f>C25-D17+D18</f>
        <v>977.7752488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4.25" customHeight="1">
      <c r="A27" s="1"/>
      <c r="B27" s="47" t="s">
        <v>19</v>
      </c>
      <c r="C27" s="48">
        <f>(C26/D14)*10^9</f>
        <v>955.7920321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4.2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>
      <c r="A29" s="1"/>
      <c r="B29" s="26" t="s">
        <v>20</v>
      </c>
      <c r="C29" s="1"/>
      <c r="D29" s="1"/>
      <c r="E29" s="26"/>
      <c r="F29" s="26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>
      <c r="A30" s="1"/>
      <c r="B30" s="26" t="s">
        <v>21</v>
      </c>
      <c r="C30" s="1"/>
      <c r="D30" s="1"/>
      <c r="E30" s="26"/>
      <c r="F30" s="26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>
      <c r="A31" s="1"/>
      <c r="B31" s="26" t="s">
        <v>22</v>
      </c>
      <c r="C31" s="1"/>
      <c r="D31" s="1"/>
      <c r="E31" s="26"/>
      <c r="F31" s="26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4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4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47.57"/>
    <col customWidth="1" min="3" max="3" width="12.0"/>
    <col customWidth="1" min="4" max="4" width="16.57"/>
    <col customWidth="1" min="5" max="5" width="15.0"/>
    <col customWidth="1" min="6" max="6" width="8.86"/>
    <col customWidth="1" min="7" max="7" width="12.0"/>
    <col customWidth="1" min="8" max="9" width="8.86"/>
    <col customWidth="1" min="10" max="10" width="13.43"/>
    <col customWidth="1" min="11" max="12" width="8.86"/>
    <col customWidth="1" min="13" max="13" width="24.14"/>
    <col customWidth="1" min="14" max="14" width="8.86"/>
    <col customWidth="1" min="15" max="26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1"/>
      <c r="B2" s="49" t="s">
        <v>0</v>
      </c>
      <c r="C2" s="1"/>
      <c r="D2" s="1"/>
      <c r="E2" s="50" t="s">
        <v>1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>
      <c r="A3" s="1"/>
      <c r="B3" s="1"/>
      <c r="C3" s="1"/>
      <c r="D3" s="1"/>
      <c r="E3" s="1"/>
      <c r="F3" s="1"/>
      <c r="G3" s="1"/>
      <c r="H3" s="1"/>
      <c r="I3" s="1"/>
      <c r="J3" s="27"/>
      <c r="K3" s="1"/>
      <c r="L3" s="1"/>
      <c r="M3" s="27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4.25" customHeight="1">
      <c r="A4" s="1"/>
      <c r="B4" s="3" t="s">
        <v>2</v>
      </c>
      <c r="C4" s="4"/>
      <c r="D4" s="5" t="s">
        <v>3</v>
      </c>
      <c r="E4" s="6"/>
      <c r="F4" s="7"/>
      <c r="G4" s="5" t="s">
        <v>4</v>
      </c>
      <c r="H4" s="6"/>
      <c r="I4" s="5"/>
      <c r="J4" s="51" t="s">
        <v>23</v>
      </c>
      <c r="K4" s="6"/>
      <c r="L4" s="5"/>
      <c r="M4" s="51" t="s">
        <v>24</v>
      </c>
      <c r="N4" s="52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4.25" customHeight="1">
      <c r="A5" s="1"/>
      <c r="B5" s="8" t="s">
        <v>12</v>
      </c>
      <c r="C5" s="9"/>
      <c r="D5" s="53">
        <v>1.7723E9</v>
      </c>
      <c r="E5" s="12"/>
      <c r="F5" s="9"/>
      <c r="G5" s="54">
        <v>4.365E8</v>
      </c>
      <c r="H5" s="55"/>
      <c r="J5" s="56">
        <v>3.672E8</v>
      </c>
      <c r="K5" s="11"/>
      <c r="M5" s="56">
        <v>1.428E8</v>
      </c>
      <c r="N5" s="1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4.25" customHeight="1">
      <c r="A6" s="1"/>
      <c r="B6" s="8" t="s">
        <v>25</v>
      </c>
      <c r="C6" s="9"/>
      <c r="D6" s="57">
        <v>461.75</v>
      </c>
      <c r="E6" s="11"/>
      <c r="F6" s="9"/>
      <c r="G6" s="12">
        <v>592.8</v>
      </c>
      <c r="H6" s="11"/>
      <c r="J6" s="57">
        <v>331.7</v>
      </c>
      <c r="K6" s="11"/>
      <c r="M6" s="12">
        <v>163.47</v>
      </c>
      <c r="N6" s="55"/>
      <c r="O6" s="15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4.25" customHeight="1">
      <c r="A7" s="1"/>
      <c r="B7" s="8" t="s">
        <v>26</v>
      </c>
      <c r="C7" s="9"/>
      <c r="D7" s="12">
        <v>81801.64</v>
      </c>
      <c r="E7" s="12"/>
      <c r="F7" s="9"/>
      <c r="G7" s="12">
        <v>25857.76</v>
      </c>
      <c r="H7" s="55"/>
      <c r="J7" s="35">
        <v>12182.28</v>
      </c>
      <c r="K7" s="11"/>
      <c r="M7" s="12">
        <v>2336.61</v>
      </c>
      <c r="N7" s="55"/>
      <c r="O7" s="15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1"/>
      <c r="B8" s="8" t="s">
        <v>27</v>
      </c>
      <c r="C8" s="9"/>
      <c r="D8" s="35">
        <v>1768.91</v>
      </c>
      <c r="E8" s="11"/>
      <c r="F8" s="9"/>
      <c r="G8" s="12">
        <v>787.32</v>
      </c>
      <c r="H8" s="11"/>
      <c r="J8" s="12">
        <v>372.26</v>
      </c>
      <c r="K8" s="55"/>
      <c r="M8" s="12">
        <v>129.86</v>
      </c>
      <c r="N8" s="55"/>
      <c r="O8" s="15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4.25" customHeight="1">
      <c r="A9" s="1"/>
      <c r="B9" s="17" t="s">
        <v>28</v>
      </c>
      <c r="C9" s="18"/>
      <c r="D9" s="58">
        <f>D7/D8</f>
        <v>46.24409382</v>
      </c>
      <c r="E9" s="59"/>
      <c r="F9" s="18"/>
      <c r="G9" s="58">
        <f>G7/G8</f>
        <v>32.84275771</v>
      </c>
      <c r="H9" s="59"/>
      <c r="I9" s="60"/>
      <c r="J9" s="58">
        <f>J7/J8</f>
        <v>32.72519207</v>
      </c>
      <c r="K9" s="59"/>
      <c r="L9" s="60"/>
      <c r="M9" s="58">
        <f>M7/M8</f>
        <v>17.99330048</v>
      </c>
      <c r="N9" s="59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4.2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4.25" customHeight="1">
      <c r="A11" s="1"/>
      <c r="B11" s="23" t="s">
        <v>29</v>
      </c>
      <c r="C11" s="24">
        <f>AVERAGE(D9,G9,J9,M9)</f>
        <v>32.45133602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4.25" customHeight="1">
      <c r="A12" s="1"/>
      <c r="B12" s="1"/>
      <c r="C12" s="1"/>
      <c r="D12" s="1"/>
      <c r="E12" s="1"/>
      <c r="F12" s="1"/>
      <c r="G12" s="1"/>
      <c r="H12" s="1"/>
      <c r="I12" s="1"/>
      <c r="J12" s="6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4.25" customHeight="1">
      <c r="A13" s="1"/>
      <c r="B13" s="62" t="s">
        <v>10</v>
      </c>
      <c r="C13" s="1"/>
      <c r="D13" s="1"/>
      <c r="E13" s="1"/>
      <c r="F13" s="26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4.25" customHeight="1">
      <c r="A14" s="1"/>
      <c r="B14" s="1"/>
      <c r="C14" s="1"/>
      <c r="D14" s="27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>
      <c r="A15" s="1"/>
      <c r="B15" s="28"/>
      <c r="C15" s="63"/>
      <c r="D15" s="51" t="s">
        <v>11</v>
      </c>
      <c r="E15" s="52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4.25" customHeight="1">
      <c r="A16" s="1"/>
      <c r="B16" s="8" t="s">
        <v>12</v>
      </c>
      <c r="C16" s="32"/>
      <c r="D16" s="33">
        <v>1.023E9</v>
      </c>
      <c r="E16" s="34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>
      <c r="A17" s="1"/>
      <c r="B17" s="8" t="s">
        <v>25</v>
      </c>
      <c r="C17" s="32"/>
      <c r="D17" s="35">
        <v>1156.6</v>
      </c>
      <c r="E17" s="34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4.25" customHeight="1">
      <c r="A18" s="1"/>
      <c r="B18" s="8" t="s">
        <v>26</v>
      </c>
      <c r="C18" s="32"/>
      <c r="D18" s="35">
        <v>118336.38</v>
      </c>
      <c r="E18" s="34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4.25" customHeight="1">
      <c r="A19" s="1"/>
      <c r="B19" s="8" t="s">
        <v>27</v>
      </c>
      <c r="C19" s="32"/>
      <c r="D19" s="35">
        <v>-452.9</v>
      </c>
      <c r="E19" s="34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4.25" customHeight="1">
      <c r="A20" s="1"/>
      <c r="B20" s="64" t="s">
        <v>28</v>
      </c>
      <c r="C20" s="37"/>
      <c r="D20" s="65">
        <f>D18/D19</f>
        <v>-261.2858909</v>
      </c>
      <c r="E20" s="39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4.2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4.25" customHeight="1">
      <c r="A22" s="1"/>
      <c r="B22" s="66" t="s">
        <v>15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4.2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4.25" customHeight="1">
      <c r="A24" s="1"/>
      <c r="B24" s="67" t="s">
        <v>30</v>
      </c>
      <c r="C24" s="68">
        <f>C11</f>
        <v>32.45133602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>
      <c r="A25" s="1"/>
      <c r="B25" s="69" t="s">
        <v>31</v>
      </c>
      <c r="C25" s="70">
        <f>D19</f>
        <v>-452.9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4.25" customHeight="1">
      <c r="A26" s="1"/>
      <c r="B26" s="69" t="s">
        <v>32</v>
      </c>
      <c r="C26" s="70">
        <f>C25*C24</f>
        <v>-14697.21008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4.25" customHeight="1">
      <c r="A27" s="1"/>
      <c r="B27" s="71" t="s">
        <v>19</v>
      </c>
      <c r="C27" s="72">
        <f>(C26/D16)*10^9</f>
        <v>-14366.77427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4.2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>
      <c r="A29" s="1"/>
      <c r="B29" s="73" t="s">
        <v>33</v>
      </c>
      <c r="C29" s="1"/>
      <c r="D29" s="1"/>
      <c r="E29" s="26"/>
      <c r="F29" s="26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>
      <c r="A30" s="1"/>
      <c r="B30" s="26"/>
      <c r="C30" s="1"/>
      <c r="D30" s="1"/>
      <c r="E30" s="26"/>
      <c r="F30" s="26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>
      <c r="A31" s="1"/>
      <c r="B31" s="26"/>
      <c r="C31" s="1"/>
      <c r="D31" s="1"/>
      <c r="E31" s="26"/>
      <c r="F31" s="26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4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4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4" max="4" width="12.0"/>
    <col customWidth="1" min="5" max="5" width="22.71"/>
    <col customWidth="1" min="6" max="6" width="22.86"/>
  </cols>
  <sheetData>
    <row r="4">
      <c r="B4" s="74"/>
      <c r="C4" s="75" t="s">
        <v>34</v>
      </c>
      <c r="D4" s="76" t="s">
        <v>35</v>
      </c>
      <c r="E4" s="77" t="s">
        <v>36</v>
      </c>
      <c r="F4" s="77" t="s">
        <v>37</v>
      </c>
      <c r="G4" s="76" t="s">
        <v>38</v>
      </c>
    </row>
    <row r="5">
      <c r="B5" s="74"/>
      <c r="C5" s="78" t="s">
        <v>39</v>
      </c>
      <c r="D5" s="79">
        <v>20.3</v>
      </c>
      <c r="E5" s="80">
        <v>53.24</v>
      </c>
      <c r="F5" s="81">
        <f t="shared" ref="F5:F11" si="1">100-E5</f>
        <v>46.76</v>
      </c>
      <c r="G5" s="80">
        <v>9.49</v>
      </c>
    </row>
    <row r="6">
      <c r="B6" s="74"/>
      <c r="C6" s="78" t="s">
        <v>40</v>
      </c>
      <c r="D6" s="79">
        <v>32.84</v>
      </c>
      <c r="E6" s="80">
        <v>48.51</v>
      </c>
      <c r="F6" s="81">
        <f t="shared" si="1"/>
        <v>51.49</v>
      </c>
      <c r="G6" s="80">
        <v>16.91</v>
      </c>
    </row>
    <row r="7">
      <c r="B7" s="74"/>
      <c r="C7" s="78" t="s">
        <v>41</v>
      </c>
      <c r="D7" s="79">
        <v>15.91</v>
      </c>
      <c r="E7" s="80">
        <v>45.81</v>
      </c>
      <c r="F7" s="81">
        <f t="shared" si="1"/>
        <v>54.19</v>
      </c>
      <c r="G7" s="80">
        <v>8.62</v>
      </c>
    </row>
    <row r="8">
      <c r="B8" s="74"/>
      <c r="C8" s="78" t="s">
        <v>42</v>
      </c>
      <c r="D8" s="79">
        <v>19.17</v>
      </c>
      <c r="E8" s="80">
        <v>49.45</v>
      </c>
      <c r="F8" s="81">
        <f t="shared" si="1"/>
        <v>50.55</v>
      </c>
      <c r="G8" s="80">
        <v>9.69</v>
      </c>
    </row>
    <row r="9">
      <c r="B9" s="74"/>
      <c r="C9" s="78" t="s">
        <v>43</v>
      </c>
      <c r="D9" s="79">
        <v>16.46</v>
      </c>
      <c r="E9" s="80">
        <v>18.62</v>
      </c>
      <c r="F9" s="81">
        <f t="shared" si="1"/>
        <v>81.38</v>
      </c>
      <c r="G9" s="80">
        <v>13.4</v>
      </c>
    </row>
    <row r="10">
      <c r="B10" s="74"/>
      <c r="C10" s="78" t="s">
        <v>44</v>
      </c>
      <c r="D10" s="79">
        <v>9.64</v>
      </c>
      <c r="E10" s="80">
        <v>77.05</v>
      </c>
      <c r="F10" s="81">
        <f t="shared" si="1"/>
        <v>22.95</v>
      </c>
      <c r="G10" s="80">
        <v>2.21</v>
      </c>
    </row>
    <row r="11">
      <c r="C11" s="78" t="s">
        <v>45</v>
      </c>
      <c r="D11" s="79">
        <v>37.21</v>
      </c>
      <c r="E11" s="80">
        <v>74.91</v>
      </c>
      <c r="F11" s="81">
        <f t="shared" si="1"/>
        <v>25.09</v>
      </c>
      <c r="G11" s="80">
        <v>9.34</v>
      </c>
    </row>
    <row r="12">
      <c r="F12" s="82" t="s">
        <v>46</v>
      </c>
      <c r="G12" s="83">
        <f>AVERAGE(G5:G11)</f>
        <v>9.951428571</v>
      </c>
    </row>
  </sheetData>
  <hyperlinks>
    <hyperlink r:id="rId1" ref="C5"/>
    <hyperlink r:id="rId2" ref="C6"/>
    <hyperlink r:id="rId3" ref="C7"/>
    <hyperlink r:id="rId4" ref="C8"/>
    <hyperlink r:id="rId5" ref="C9"/>
    <hyperlink r:id="rId6" ref="C10"/>
    <hyperlink r:id="rId7" ref="C11"/>
  </hyperlinks>
  <drawing r:id="rId8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2025-04-04T16:41:14Z</dcterms:created>
  <dc:creator>Kanishk Agarwal</dc:creator>
</cp:coreProperties>
</file>